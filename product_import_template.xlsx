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San Pham" sheetId="1" state="visible" r:id="rId1"/>
    <sheet xmlns:r="http://schemas.openxmlformats.org/officeDocument/2006/relationships" name="Huong 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20" customWidth="1" min="10" max="10"/>
    <col width="15" customWidth="1" min="11" max="11"/>
    <col width="15" customWidth="1" min="12" max="12"/>
    <col width="20" customWidth="1" min="13" max="13"/>
    <col width="15" customWidth="1" min="14" max="14"/>
    <col width="15" customWidth="1" min="15" max="15"/>
    <col width="20" customWidth="1" min="16" max="16"/>
    <col width="15" customWidth="1" min="17" max="17"/>
    <col width="30" customWidth="1" min="18" max="18"/>
  </cols>
  <sheetData>
    <row r="1">
      <c r="A1" s="1" t="inlineStr">
        <is>
          <t>ten_san_pham</t>
        </is>
      </c>
      <c r="B1" s="1" t="inlineStr">
        <is>
          <t>don_vi_co_ban</t>
        </is>
      </c>
      <c r="C1" s="1" t="inlineStr">
        <is>
          <t>don_vi_nhap</t>
        </is>
      </c>
      <c r="D1" s="1" t="inlineStr">
        <is>
          <t>ti_so_chuyen_doi</t>
        </is>
      </c>
      <c r="E1" s="1" t="inlineStr">
        <is>
          <t>gia_nhap</t>
        </is>
      </c>
      <c r="F1" s="1" t="inlineStr">
        <is>
          <t>gia_ban</t>
        </is>
      </c>
      <c r="G1" s="1" t="inlineStr">
        <is>
          <t>gia_ban_le</t>
        </is>
      </c>
      <c r="H1" s="1" t="inlineStr">
        <is>
          <t>so_luong</t>
        </is>
      </c>
      <c r="I1" s="1" t="inlineStr">
        <is>
          <t>don_vi_trung</t>
        </is>
      </c>
      <c r="J1" s="1" t="inlineStr">
        <is>
          <t>ti_le_quy_doi_trung</t>
        </is>
      </c>
      <c r="K1" s="1" t="inlineStr">
        <is>
          <t>gia_ban_trung</t>
        </is>
      </c>
      <c r="L1" s="1" t="inlineStr">
        <is>
          <t>don_vi_phu_1</t>
        </is>
      </c>
      <c r="M1" s="1" t="inlineStr">
        <is>
          <t>ti_le_quy_doi_phu_1</t>
        </is>
      </c>
      <c r="N1" s="1" t="inlineStr">
        <is>
          <t>gia_ban_phu_1</t>
        </is>
      </c>
      <c r="O1" s="1" t="inlineStr">
        <is>
          <t>don_vi_phu_2</t>
        </is>
      </c>
      <c r="P1" s="1" t="inlineStr">
        <is>
          <t>ti_le_quy_doi_phu_2</t>
        </is>
      </c>
      <c r="Q1" s="1" t="inlineStr">
        <is>
          <t>gia_ban_phu_2</t>
        </is>
      </c>
      <c r="R1" s="1" t="inlineStr">
        <is>
          <t>ghi_chu</t>
        </is>
      </c>
    </row>
    <row r="2">
      <c r="A2" s="2" t="inlineStr">
        <is>
          <t>Coca Cola</t>
        </is>
      </c>
      <c r="B2" s="2" t="inlineStr">
        <is>
          <t>lon</t>
        </is>
      </c>
      <c r="C2" s="2" t="inlineStr">
        <is>
          <t>thùng</t>
        </is>
      </c>
      <c r="D2" s="2" t="n">
        <v>24</v>
      </c>
      <c r="E2" s="2" t="n">
        <v>220000</v>
      </c>
      <c r="F2" s="2" t="n">
        <v>250000</v>
      </c>
      <c r="G2" s="2" t="n">
        <v>12000</v>
      </c>
      <c r="H2" s="2" t="n">
        <v>10</v>
      </c>
      <c r="I2" s="2" t="inlineStr">
        <is>
          <t>lốc</t>
        </is>
      </c>
      <c r="J2" s="2" t="n">
        <v>6</v>
      </c>
      <c r="K2" s="2" t="n">
        <v>65000</v>
      </c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Bia Coca-Cola 330ml</t>
        </is>
      </c>
    </row>
    <row r="3">
      <c r="A3" s="2" t="inlineStr">
        <is>
          <t>Pepsi</t>
        </is>
      </c>
      <c r="B3" s="2" t="inlineStr">
        <is>
          <t>lon</t>
        </is>
      </c>
      <c r="C3" s="2" t="inlineStr">
        <is>
          <t>thùng</t>
        </is>
      </c>
      <c r="D3" s="2" t="n">
        <v>24</v>
      </c>
      <c r="E3" s="2" t="n">
        <v>200000</v>
      </c>
      <c r="F3" s="2" t="n">
        <v>240000</v>
      </c>
      <c r="G3" s="2" t="n">
        <v>11000</v>
      </c>
      <c r="H3" s="2" t="n">
        <v>15</v>
      </c>
      <c r="I3" s="2" t="inlineStr">
        <is>
          <t>lốc</t>
        </is>
      </c>
      <c r="J3" s="2" t="n">
        <v>6</v>
      </c>
      <c r="K3" s="2" t="n">
        <v>60000</v>
      </c>
      <c r="L3" s="2" t="inlineStr"/>
      <c r="M3" s="2" t="inlineStr"/>
      <c r="N3" s="2" t="inlineStr"/>
      <c r="O3" s="2" t="inlineStr"/>
      <c r="P3" s="2" t="inlineStr"/>
      <c r="Q3" s="2" t="inlineStr"/>
      <c r="R3" s="2" t="inlineStr">
        <is>
          <t>Pepsi 330ml</t>
        </is>
      </c>
    </row>
    <row r="4">
      <c r="A4" s="2" t="inlineStr">
        <is>
          <t>Mì Hảo Hảo</t>
        </is>
      </c>
      <c r="B4" s="2" t="inlineStr">
        <is>
          <t>gói</t>
        </is>
      </c>
      <c r="C4" s="2" t="inlineStr">
        <is>
          <t>thùng</t>
        </is>
      </c>
      <c r="D4" s="2" t="n">
        <v>30</v>
      </c>
      <c r="E4" s="2" t="n">
        <v>90000</v>
      </c>
      <c r="F4" s="2" t="n">
        <v>120000</v>
      </c>
      <c r="G4" s="2" t="n">
        <v>4500</v>
      </c>
      <c r="H4" s="2" t="n">
        <v>20</v>
      </c>
      <c r="I4" s="2" t="inlineStr">
        <is>
          <t>lốc</t>
        </is>
      </c>
      <c r="J4" s="2" t="n">
        <v>5</v>
      </c>
      <c r="K4" s="2" t="n">
        <v>20000</v>
      </c>
      <c r="L4" s="2" t="inlineStr"/>
      <c r="M4" s="2" t="inlineStr"/>
      <c r="N4" s="2" t="inlineStr"/>
      <c r="O4" s="2" t="inlineStr"/>
      <c r="P4" s="2" t="inlineStr"/>
      <c r="Q4" s="2" t="inlineStr"/>
      <c r="R4" s="2" t="inlineStr">
        <is>
          <t>Mì Hảo Hảo gói 75g</t>
        </is>
      </c>
    </row>
    <row r="5">
      <c r="A5" s="2" t="inlineStr">
        <is>
          <t>Dầu ăn Neptune</t>
        </is>
      </c>
      <c r="B5" s="2" t="inlineStr">
        <is>
          <t>chai</t>
        </is>
      </c>
      <c r="C5" s="2" t="inlineStr">
        <is>
          <t>thùng</t>
        </is>
      </c>
      <c r="D5" s="2" t="n">
        <v>6</v>
      </c>
      <c r="E5" s="2" t="n">
        <v>300000</v>
      </c>
      <c r="F5" s="2" t="n">
        <v>360000</v>
      </c>
      <c r="G5" s="2" t="n">
        <v>65000</v>
      </c>
      <c r="H5" s="2" t="n">
        <v>5</v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>
        <is>
          <t>Dầu Neptune 1L</t>
        </is>
      </c>
    </row>
    <row r="6">
      <c r="A6" s="2" t="inlineStr">
        <is>
          <t>Sữa TH True Milk</t>
        </is>
      </c>
      <c r="B6" s="2" t="inlineStr">
        <is>
          <t>hộp</t>
        </is>
      </c>
      <c r="C6" s="2" t="inlineStr">
        <is>
          <t>thùng</t>
        </is>
      </c>
      <c r="D6" s="2" t="n">
        <v>48</v>
      </c>
      <c r="E6" s="2" t="n">
        <v>650000</v>
      </c>
      <c r="F6" s="2" t="n">
        <v>750000</v>
      </c>
      <c r="G6" s="2" t="n">
        <v>17000</v>
      </c>
      <c r="H6" s="2" t="n">
        <v>8</v>
      </c>
      <c r="I6" s="2" t="inlineStr">
        <is>
          <t>lốc</t>
        </is>
      </c>
      <c r="J6" s="2" t="n">
        <v>4</v>
      </c>
      <c r="K6" s="2" t="n">
        <v>62000</v>
      </c>
      <c r="L6" s="2" t="inlineStr"/>
      <c r="M6" s="2" t="inlineStr"/>
      <c r="N6" s="2" t="inlineStr"/>
      <c r="O6" s="2" t="inlineStr"/>
      <c r="P6" s="2" t="inlineStr"/>
      <c r="Q6" s="2" t="inlineStr"/>
      <c r="R6" s="2" t="inlineStr">
        <is>
          <t>Sữa TH 180ml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HƯỚNG DẪN IMPORT SẢN PHẨM</t>
        </is>
      </c>
    </row>
    <row r="2">
      <c r="A2" t="inlineStr"/>
    </row>
    <row r="3">
      <c r="A3" s="3">
        <f>== CÁC CỘT BẮT BUỘC ===</f>
        <v/>
      </c>
    </row>
    <row r="4">
      <c r="A4" t="inlineStr">
        <is>
          <t>ten_san_pham: Tên sản phẩm (bắt buộc)</t>
        </is>
      </c>
    </row>
    <row r="5">
      <c r="A5" t="inlineStr"/>
    </row>
    <row r="6">
      <c r="A6" s="3">
        <f>== ĐƠN VỊ TÍNH ===</f>
        <v/>
      </c>
    </row>
    <row r="7">
      <c r="A7" t="inlineStr">
        <is>
          <t>don_vi_co_ban: Đơn vị nhỏ nhất để bán lẻ (VD: lon, gói, chai, hộp)</t>
        </is>
      </c>
    </row>
    <row r="8">
      <c r="A8" t="inlineStr">
        <is>
          <t>don_vi_nhap: Đơn vị lớn để nhập hàng (VD: thùng, bao, can)</t>
        </is>
      </c>
    </row>
    <row r="9">
      <c r="A9" t="inlineStr">
        <is>
          <t>ti_so_chuyen_doi: Số đơn vị cơ bản trong 1 đơn vị nhập (VD: 24 lon = 1 thùng thì nhập 24)</t>
        </is>
      </c>
    </row>
    <row r="10">
      <c r="A10" t="inlineStr"/>
    </row>
    <row r="11">
      <c r="A11" s="3">
        <f>== GIÁ CẢ ===</f>
        <v/>
      </c>
    </row>
    <row r="12">
      <c r="A12" t="inlineStr">
        <is>
          <t>gia_nhap: Giá nhập theo đơn vị nhập (VD: giá nhập 1 thùng)</t>
        </is>
      </c>
    </row>
    <row r="13">
      <c r="A13" t="inlineStr">
        <is>
          <t>gia_ban: Giá bán theo đơn vị nhập (VD: giá bán 1 thùng)</t>
        </is>
      </c>
    </row>
    <row r="14">
      <c r="A14" t="inlineStr">
        <is>
          <t>gia_ban_le: Giá bán lẻ theo đơn vị cơ bản (VD: giá bán 1 lon)</t>
        </is>
      </c>
    </row>
    <row r="15">
      <c r="A15" t="inlineStr"/>
    </row>
    <row r="16">
      <c r="A16" s="3">
        <f>== ĐƠN VỊ TRUNG GIAN (tùy chọn) ===</f>
        <v/>
      </c>
    </row>
    <row r="17">
      <c r="A17" t="inlineStr">
        <is>
          <t>don_vi_trung: Đơn vị trung gian (VD: lốc 6 lon)</t>
        </is>
      </c>
    </row>
    <row r="18">
      <c r="A18" t="inlineStr">
        <is>
          <t>ti_le_quy_doi_trung: Số đơn vị cơ bản trong 1 đơn vị trung (VD: 6 lon = 1 lốc thì nhập 6)</t>
        </is>
      </c>
    </row>
    <row r="19">
      <c r="A19" t="inlineStr">
        <is>
          <t>gia_ban_trung: Giá bán theo đơn vị trung</t>
        </is>
      </c>
    </row>
    <row r="20">
      <c r="A20" t="inlineStr"/>
    </row>
    <row r="21">
      <c r="A21" s="3">
        <f>== ĐƠN VỊ PHỤ 1, 2 (tùy chọn) ===</f>
        <v/>
      </c>
    </row>
    <row r="22">
      <c r="A22" t="inlineStr">
        <is>
          <t>Dùng cho các đơn vị bán đặc biệt khác</t>
        </is>
      </c>
    </row>
    <row r="23">
      <c r="A23" t="inlineStr"/>
    </row>
    <row r="24">
      <c r="A24" s="3">
        <f>== VÍ DỤ ===</f>
        <v/>
      </c>
    </row>
    <row r="25">
      <c r="A25" t="inlineStr">
        <is>
          <t>Sản phẩm: Coca Cola</t>
        </is>
      </c>
    </row>
    <row r="26">
      <c r="A26" t="inlineStr">
        <is>
          <t>- Đơn vị cơ bản: lon (giá bán lẻ 12,000đ)</t>
        </is>
      </c>
    </row>
    <row r="27">
      <c r="A27" t="inlineStr">
        <is>
          <t>- Đơn vị nhập: thùng 24 lon (giá nhập 220,000đ, giá bán 250,000đ)</t>
        </is>
      </c>
    </row>
    <row r="28">
      <c r="A28" t="inlineStr">
        <is>
          <t>- Đơn vị trung: lốc 6 lon (giá bán 65,000đ)</t>
        </is>
      </c>
    </row>
    <row r="29">
      <c r="A29" t="inlineStr"/>
    </row>
    <row r="30">
      <c r="A30" s="3">
        <f>== LƯU Ý ===</f>
        <v/>
      </c>
    </row>
    <row r="31">
      <c r="A31" t="inlineStr">
        <is>
          <t>- Số tiền nhập không cần dấu phẩy hoặc chữ 'đ'</t>
        </is>
      </c>
    </row>
    <row r="32">
      <c r="A32" t="inlineStr">
        <is>
          <t>- Nếu đơn vị chưa có trong hệ thống sẽ tự động tạo mới</t>
        </is>
      </c>
    </row>
    <row r="33">
      <c r="A33" t="inlineStr">
        <is>
          <t>- Dữ liệu sẽ được lưu vào cả bảng san_pham và san_pham_don_vi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2026-01-29T06:11:32Z</dcterms:created>
  <dcterms:modified xmlns:dcterms="http://purl.org/dc/terms/" xmlns:xsi="http://www.w3.org/2001/XMLSchema-instance" xsi:type="dcterms:W3CDTF">2026-01-29T06:11:32Z</dcterms:modified>
</cp:coreProperties>
</file>